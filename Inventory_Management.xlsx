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71cfb104e05f34/Documents/EXCEL SHEETS/"/>
    </mc:Choice>
  </mc:AlternateContent>
  <xr:revisionPtr revIDLastSave="566" documentId="8_{EE203A3D-4A42-4892-9665-C5DF87507929}" xr6:coauthVersionLast="47" xr6:coauthVersionMax="47" xr10:uidLastSave="{E0B2B308-1E9A-4471-8C52-8CCF7167C381}"/>
  <bookViews>
    <workbookView xWindow="-108" yWindow="-108" windowWidth="23256" windowHeight="12456" firstSheet="1" activeTab="3" xr2:uid="{032C2DBF-5864-48A2-A9A8-6779FA321EC7}"/>
  </bookViews>
  <sheets>
    <sheet name="Inventory_Data" sheetId="1" r:id="rId1"/>
    <sheet name="Stock_Movements" sheetId="2" r:id="rId2"/>
    <sheet name="Inventory_Statu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C2" i="4"/>
  <c r="B2" i="4"/>
  <c r="A2" i="4"/>
  <c r="C3" i="3"/>
  <c r="E3" i="3" s="1"/>
  <c r="C4" i="3"/>
  <c r="E4" i="3" s="1"/>
  <c r="C5" i="3"/>
  <c r="E5" i="3" s="1"/>
  <c r="C6" i="3"/>
  <c r="E6" i="3" s="1"/>
  <c r="C7" i="3"/>
  <c r="E7" i="3" s="1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" i="3"/>
  <c r="E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</calcChain>
</file>

<file path=xl/sharedStrings.xml><?xml version="1.0" encoding="utf-8"?>
<sst xmlns="http://schemas.openxmlformats.org/spreadsheetml/2006/main" count="319" uniqueCount="67">
  <si>
    <t>Product_ID</t>
  </si>
  <si>
    <t>Product_Name</t>
  </si>
  <si>
    <t>Category</t>
  </si>
  <si>
    <t>Supplier</t>
  </si>
  <si>
    <t>Reorder_Level</t>
  </si>
  <si>
    <t>Unit_Price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</si>
  <si>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</si>
  <si>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</si>
  <si>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</si>
  <si>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</si>
  <si>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</si>
  <si>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</si>
  <si>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</si>
  <si>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</si>
  <si>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</si>
  <si>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</si>
  <si>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</si>
  <si>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</si>
  <si>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</si>
  <si>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</si>
  <si>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</si>
  <si>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</si>
  <si>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</si>
  <si>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</si>
  <si>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</si>
  <si>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</si>
  <si>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Rice Bag</t>
  </si>
  <si>
    <t>Wheat Flour</t>
  </si>
  <si>
    <t>Cooking Oil</t>
  </si>
  <si>
    <t>Saop</t>
  </si>
  <si>
    <t>Shampoo</t>
  </si>
  <si>
    <t>NoteBook</t>
  </si>
  <si>
    <t>Pen</t>
  </si>
  <si>
    <t>Led Bulb</t>
  </si>
  <si>
    <t>Extension Cord</t>
  </si>
  <si>
    <t>Detergent</t>
  </si>
  <si>
    <t>Onion</t>
  </si>
  <si>
    <t>Tomato</t>
  </si>
  <si>
    <t>Speaker</t>
  </si>
  <si>
    <t>Hydrogen Bulb</t>
  </si>
  <si>
    <t>Groundnuts</t>
  </si>
  <si>
    <t>File Book</t>
  </si>
  <si>
    <t>Electric Fan</t>
  </si>
  <si>
    <t>Grocery</t>
  </si>
  <si>
    <t>FMCG</t>
  </si>
  <si>
    <t>Stationery</t>
  </si>
  <si>
    <t>Electronics</t>
  </si>
  <si>
    <t>Dairy</t>
  </si>
  <si>
    <t>Milk</t>
  </si>
  <si>
    <t>Curd</t>
  </si>
  <si>
    <t>Panner</t>
  </si>
  <si>
    <t>Local Supplier</t>
  </si>
  <si>
    <t>XYZ suppliers</t>
  </si>
  <si>
    <t>Paper Mart</t>
  </si>
  <si>
    <t>Bright Lite</t>
  </si>
  <si>
    <t>Nandini suppliers</t>
  </si>
  <si>
    <t>Date</t>
  </si>
  <si>
    <t>Movement_Type</t>
  </si>
  <si>
    <t>Quantity</t>
  </si>
  <si>
    <t>IN</t>
  </si>
  <si>
    <t>OUT</t>
  </si>
  <si>
    <t>Current_Stock</t>
  </si>
  <si>
    <t>Stock_status</t>
  </si>
  <si>
    <t>Total Products</t>
  </si>
  <si>
    <t>Data Issues</t>
  </si>
  <si>
    <t>Low Stock Items</t>
  </si>
  <si>
    <t>Healthy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</si>
</sst>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</dxf>
    <dxf>
      <font>
        <color theme="9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Dairy</c:v>
              </c:pt>
              <c:pt idx="1">
                <c:v>Electronics</c:v>
              </c:pt>
              <c:pt idx="2">
                <c:v>FMCG</c:v>
              </c:pt>
              <c:pt idx="3">
                <c:v>Grocery</c:v>
              </c:pt>
              <c:pt idx="4">
                <c:v>Stationery</c:v>
              </c:pt>
            </c:strLit>
          </c:cat>
          <c:val>
            <c:numLit>
              <c:formatCode>General</c:formatCode>
              <c:ptCount val="5"/>
              <c:pt idx="0">
                <c:v>1892</c:v>
              </c:pt>
              <c:pt idx="1">
                <c:v>2230</c:v>
              </c:pt>
              <c:pt idx="2">
                <c:v>400</c:v>
              </c:pt>
              <c:pt idx="3">
                <c:v>2800</c:v>
              </c:pt>
              <c:pt idx="4">
                <c:v>310</c:v>
              </c:pt>
            </c:numLit>
          </c:val>
          <c:extLst>
            <c:ext xmlns:c16="http://schemas.microsoft.com/office/drawing/2014/chart" uri="{C3380CC4-5D6E-409C-BE32-E72D297353CC}">
              <c16:uniqueId val="{00000000-B802-42E2-B86E-C29093908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5"/>
        <c:axId val="2055467776"/>
        <c:axId val="2055466816"/>
      </c:barChart>
      <c:catAx>
        <c:axId val="20554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66816"/>
        <c:crosses val="autoZero"/>
        <c:auto val="1"/>
        <c:lblAlgn val="ctr"/>
        <c:lblOffset val="100"/>
        <c:noMultiLvlLbl val="0"/>
      </c:catAx>
      <c:valAx>
        <c:axId val="205546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50-47EB-97C6-7A4A4648FE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0-47EB-97C6-7A4A4648FE1C}"/>
              </c:ext>
            </c:extLst>
          </c:dPt>
          <c:cat>
            <c:strLit>
              <c:ptCount val="3"/>
              <c:pt idx="0">
                <c:v>DATA ISSUE</c:v>
              </c:pt>
              <c:pt idx="1">
                <c:v>LOW STOCK</c:v>
              </c:pt>
              <c:pt idx="2">
                <c:v>OK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4F50-47EB-97C6-7A4A4648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514304"/>
        <c:axId val="2089508544"/>
      </c:barChart>
      <c:catAx>
        <c:axId val="20895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08544"/>
        <c:crosses val="autoZero"/>
        <c:auto val="1"/>
        <c:lblAlgn val="ctr"/>
        <c:lblOffset val="100"/>
        <c:noMultiLvlLbl val="0"/>
      </c:catAx>
      <c:valAx>
        <c:axId val="20895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1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168346</xdr:rowOff>
    </xdr:from>
    <xdr:to>
      <xdr:col>3</xdr:col>
      <xdr:colOff>21687</xdr:colOff>
      <xdr:row>15</xdr:row>
      <xdr:rowOff>178018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7BC1A-3E38-D205-150C-1C7EC139C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70555</xdr:colOff>
      <xdr:row>2</xdr:row>
      <xdr:rowOff>151000</xdr:rowOff>
    </xdr:from>
    <xdr:to>
      <xdr:col>8</xdr:col>
      <xdr:colOff>169875</xdr:colOff>
      <xdr:row>15</xdr:row>
      <xdr:rowOff>176389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6568070-A96A-C398-26C5-57BBE0632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A3D6-8E95-453D-8BF5-6AF408ED3909}">
  <dimension ref="A1:F21"/>
  <sheetViews>
    <sheetView workbookViewId="0">
      <selection activeCell="I17" sqref="I17"/>
    </sheetView>
  </sheetViews>
  <sheetFormatPr defaultRowHeight="14.4" x14ac:dyDescent="0.3"/>
  <cols>
    <col min="1" max="1" width="12" customWidth="1"/>
    <col min="2" max="2" width="19.109375" customWidth="1"/>
    <col min="3" max="3" width="13.5546875" customWidth="1"/>
    <col min="4" max="4" width="15.77734375" customWidth="1"/>
    <col min="5" max="5" width="17.21875" customWidth="1"/>
    <col min="6" max="6" width="13.6640625" customWidth="1"/>
  </cols>
  <sheetData>
    <row r="1" spans="1:6" x14ac:dyDescent="0.3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 t="s">
        <v>6</v>
      </c>
      <c r="B2" s="3" t="s">
        <v>26</v>
      </c>
      <c r="C2" s="5" t="s">
        <v>43</v>
      </c>
      <c r="D2" s="5" t="s">
        <v>51</v>
      </c>
      <c r="E2" s="5">
        <v>50</v>
      </c>
      <c r="F2" s="5">
        <v>1200</v>
      </c>
    </row>
    <row r="3" spans="1:6" x14ac:dyDescent="0.3">
      <c r="A3" s="5" t="s">
        <v>7</v>
      </c>
      <c r="B3" s="5" t="s">
        <v>27</v>
      </c>
      <c r="C3" s="5" t="s">
        <v>43</v>
      </c>
      <c r="D3" s="5" t="s">
        <v>51</v>
      </c>
      <c r="E3" s="5">
        <v>40</v>
      </c>
      <c r="F3" s="5">
        <v>900</v>
      </c>
    </row>
    <row r="4" spans="1:6" x14ac:dyDescent="0.3">
      <c r="A4" s="5" t="s">
        <v>8</v>
      </c>
      <c r="B4" s="5" t="s">
        <v>28</v>
      </c>
      <c r="C4" s="5" t="s">
        <v>43</v>
      </c>
      <c r="D4" s="5" t="s">
        <v>51</v>
      </c>
      <c r="E4" s="5">
        <v>30</v>
      </c>
      <c r="F4" s="5">
        <v>180</v>
      </c>
    </row>
    <row r="5" spans="1:6" x14ac:dyDescent="0.3">
      <c r="A5" s="5" t="s">
        <v>9</v>
      </c>
      <c r="B5" s="5" t="s">
        <v>29</v>
      </c>
      <c r="C5" s="3" t="s">
        <v>44</v>
      </c>
      <c r="D5" s="5" t="s">
        <v>52</v>
      </c>
      <c r="E5" s="5">
        <v>40</v>
      </c>
      <c r="F5" s="5">
        <v>60</v>
      </c>
    </row>
    <row r="6" spans="1:6" x14ac:dyDescent="0.3">
      <c r="A6" s="5" t="s">
        <v>10</v>
      </c>
      <c r="B6" s="5" t="s">
        <v>30</v>
      </c>
      <c r="C6" s="3" t="s">
        <v>44</v>
      </c>
      <c r="D6" s="5" t="s">
        <v>52</v>
      </c>
      <c r="E6" s="5">
        <v>60</v>
      </c>
      <c r="F6" s="5">
        <v>120</v>
      </c>
    </row>
    <row r="7" spans="1:6" x14ac:dyDescent="0.3">
      <c r="A7" s="5" t="s">
        <v>11</v>
      </c>
      <c r="B7" s="5" t="s">
        <v>31</v>
      </c>
      <c r="C7" s="3" t="s">
        <v>45</v>
      </c>
      <c r="D7" s="5" t="s">
        <v>53</v>
      </c>
      <c r="E7" s="5">
        <v>100</v>
      </c>
      <c r="F7" s="5">
        <v>50</v>
      </c>
    </row>
    <row r="8" spans="1:6" x14ac:dyDescent="0.3">
      <c r="A8" s="5" t="s">
        <v>12</v>
      </c>
      <c r="B8" s="5" t="s">
        <v>32</v>
      </c>
      <c r="C8" s="3" t="s">
        <v>45</v>
      </c>
      <c r="D8" s="5" t="s">
        <v>53</v>
      </c>
      <c r="E8" s="5">
        <v>200</v>
      </c>
      <c r="F8" s="5">
        <v>10</v>
      </c>
    </row>
    <row r="9" spans="1:6" x14ac:dyDescent="0.3">
      <c r="A9" s="5" t="s">
        <v>13</v>
      </c>
      <c r="B9" s="5" t="s">
        <v>33</v>
      </c>
      <c r="C9" s="3" t="s">
        <v>46</v>
      </c>
      <c r="D9" s="5" t="s">
        <v>54</v>
      </c>
      <c r="E9" s="5">
        <v>25</v>
      </c>
      <c r="F9" s="5">
        <v>250</v>
      </c>
    </row>
    <row r="10" spans="1:6" x14ac:dyDescent="0.3">
      <c r="A10" s="5" t="s">
        <v>14</v>
      </c>
      <c r="B10" s="5" t="s">
        <v>34</v>
      </c>
      <c r="C10" s="3" t="s">
        <v>46</v>
      </c>
      <c r="D10" s="5" t="s">
        <v>54</v>
      </c>
      <c r="E10" s="5">
        <v>20</v>
      </c>
      <c r="F10" s="5">
        <v>450</v>
      </c>
    </row>
    <row r="11" spans="1:6" x14ac:dyDescent="0.3">
      <c r="A11" s="5" t="s">
        <v>15</v>
      </c>
      <c r="B11" s="5" t="s">
        <v>35</v>
      </c>
      <c r="C11" s="3" t="s">
        <v>44</v>
      </c>
      <c r="D11" s="5" t="s">
        <v>52</v>
      </c>
      <c r="E11" s="5">
        <v>35</v>
      </c>
      <c r="F11" s="5">
        <v>220</v>
      </c>
    </row>
    <row r="12" spans="1:6" x14ac:dyDescent="0.3">
      <c r="A12" s="5" t="s">
        <v>16</v>
      </c>
      <c r="B12" s="5" t="s">
        <v>36</v>
      </c>
      <c r="C12" s="3" t="s">
        <v>43</v>
      </c>
      <c r="D12" s="5" t="s">
        <v>51</v>
      </c>
      <c r="E12" s="5">
        <v>40</v>
      </c>
      <c r="F12" s="5">
        <v>120</v>
      </c>
    </row>
    <row r="13" spans="1:6" x14ac:dyDescent="0.3">
      <c r="A13" s="5" t="s">
        <v>17</v>
      </c>
      <c r="B13" s="5" t="s">
        <v>37</v>
      </c>
      <c r="C13" s="5" t="s">
        <v>43</v>
      </c>
      <c r="D13" s="5" t="s">
        <v>51</v>
      </c>
      <c r="E13" s="5">
        <v>30</v>
      </c>
      <c r="F13" s="5">
        <v>180</v>
      </c>
    </row>
    <row r="14" spans="1:6" x14ac:dyDescent="0.3">
      <c r="A14" s="5" t="s">
        <v>18</v>
      </c>
      <c r="B14" s="5" t="s">
        <v>38</v>
      </c>
      <c r="C14" s="3" t="s">
        <v>46</v>
      </c>
      <c r="D14" s="5" t="s">
        <v>54</v>
      </c>
      <c r="E14" s="5">
        <v>20</v>
      </c>
      <c r="F14" s="5">
        <v>450</v>
      </c>
    </row>
    <row r="15" spans="1:6" x14ac:dyDescent="0.3">
      <c r="A15" s="5" t="s">
        <v>19</v>
      </c>
      <c r="B15" s="5" t="s">
        <v>39</v>
      </c>
      <c r="C15" s="3" t="s">
        <v>46</v>
      </c>
      <c r="D15" s="5" t="s">
        <v>54</v>
      </c>
      <c r="E15" s="5">
        <v>40</v>
      </c>
      <c r="F15" s="5">
        <v>900</v>
      </c>
    </row>
    <row r="16" spans="1:6" x14ac:dyDescent="0.3">
      <c r="A16" s="5" t="s">
        <v>20</v>
      </c>
      <c r="B16" s="5" t="s">
        <v>40</v>
      </c>
      <c r="C16" s="5" t="s">
        <v>43</v>
      </c>
      <c r="D16" s="5" t="s">
        <v>51</v>
      </c>
      <c r="E16" s="5">
        <v>35</v>
      </c>
      <c r="F16" s="5">
        <v>220</v>
      </c>
    </row>
    <row r="17" spans="1:6" x14ac:dyDescent="0.3">
      <c r="A17" s="5" t="s">
        <v>21</v>
      </c>
      <c r="B17" s="5" t="s">
        <v>41</v>
      </c>
      <c r="C17" s="3" t="s">
        <v>45</v>
      </c>
      <c r="D17" s="5" t="s">
        <v>53</v>
      </c>
      <c r="E17" s="5">
        <v>25</v>
      </c>
      <c r="F17" s="5">
        <v>250</v>
      </c>
    </row>
    <row r="18" spans="1:6" x14ac:dyDescent="0.3">
      <c r="A18" s="5" t="s">
        <v>22</v>
      </c>
      <c r="B18" s="5" t="s">
        <v>49</v>
      </c>
      <c r="C18" s="3" t="s">
        <v>47</v>
      </c>
      <c r="D18" s="5" t="s">
        <v>55</v>
      </c>
      <c r="E18" s="5">
        <v>50</v>
      </c>
      <c r="F18" s="5">
        <v>1200</v>
      </c>
    </row>
    <row r="19" spans="1:6" x14ac:dyDescent="0.3">
      <c r="A19" s="5" t="s">
        <v>23</v>
      </c>
      <c r="B19" s="5" t="s">
        <v>48</v>
      </c>
      <c r="C19" s="3" t="s">
        <v>47</v>
      </c>
      <c r="D19" s="5" t="s">
        <v>55</v>
      </c>
      <c r="E19" s="5">
        <v>60</v>
      </c>
      <c r="F19" s="5">
        <v>40</v>
      </c>
    </row>
    <row r="20" spans="1:6" x14ac:dyDescent="0.3">
      <c r="A20" s="5" t="s">
        <v>24</v>
      </c>
      <c r="B20" s="5" t="s">
        <v>42</v>
      </c>
      <c r="C20" s="3" t="s">
        <v>46</v>
      </c>
      <c r="D20" s="5" t="s">
        <v>54</v>
      </c>
      <c r="E20" s="5">
        <v>30</v>
      </c>
      <c r="F20" s="5">
        <v>180</v>
      </c>
    </row>
    <row r="21" spans="1:6" x14ac:dyDescent="0.3">
      <c r="A21" s="5" t="s">
        <v>25</v>
      </c>
      <c r="B21" s="5" t="s">
        <v>50</v>
      </c>
      <c r="C21" s="3" t="s">
        <v>47</v>
      </c>
      <c r="D21" s="5" t="s">
        <v>55</v>
      </c>
      <c r="E21" s="5">
        <v>20</v>
      </c>
      <c r="F21" s="5">
        <v>652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2C92-2C45-47D6-A386-C747F5DD4C8C}">
  <dimension ref="A1:D102"/>
  <sheetViews>
    <sheetView workbookViewId="0">
      <selection activeCell="D80" sqref="D80"/>
    </sheetView>
  </sheetViews>
  <sheetFormatPr defaultRowHeight="14.4" x14ac:dyDescent="0.3"/>
  <cols>
    <col min="1" max="1" width="12.109375" customWidth="1"/>
    <col min="2" max="2" width="12.44140625" customWidth="1"/>
    <col min="3" max="3" width="17.33203125" customWidth="1"/>
    <col min="4" max="4" width="12.6640625" customWidth="1"/>
  </cols>
  <sheetData>
    <row r="1" spans="1:4" s="1" customFormat="1" x14ac:dyDescent="0.3">
      <c r="A1" s="4" t="s">
        <v>56</v>
      </c>
      <c r="B1" s="4" t="s">
        <v>0</v>
      </c>
      <c r="C1" s="4" t="s">
        <v>57</v>
      </c>
      <c r="D1" s="4" t="s">
        <v>58</v>
      </c>
    </row>
    <row r="2" spans="1:4" x14ac:dyDescent="0.3">
      <c r="A2" s="6">
        <v>45931</v>
      </c>
      <c r="B2" s="5" t="s">
        <v>6</v>
      </c>
      <c r="C2" s="5" t="s">
        <v>59</v>
      </c>
      <c r="D2" s="5">
        <v>651</v>
      </c>
    </row>
    <row r="3" spans="1:4" x14ac:dyDescent="0.3">
      <c r="A3" s="6">
        <v>45932</v>
      </c>
      <c r="B3" s="5" t="s">
        <v>7</v>
      </c>
      <c r="C3" s="5" t="s">
        <v>60</v>
      </c>
      <c r="D3" s="5">
        <v>9</v>
      </c>
    </row>
    <row r="4" spans="1:4" x14ac:dyDescent="0.3">
      <c r="A4" s="6">
        <v>45933</v>
      </c>
      <c r="B4" s="5" t="s">
        <v>8</v>
      </c>
      <c r="C4" s="5" t="s">
        <v>60</v>
      </c>
      <c r="D4" s="5">
        <v>15</v>
      </c>
    </row>
    <row r="5" spans="1:4" x14ac:dyDescent="0.3">
      <c r="A5" s="6">
        <v>45934</v>
      </c>
      <c r="B5" s="5" t="s">
        <v>9</v>
      </c>
      <c r="C5" s="5" t="s">
        <v>59</v>
      </c>
      <c r="D5" s="5">
        <v>690</v>
      </c>
    </row>
    <row r="6" spans="1:4" x14ac:dyDescent="0.3">
      <c r="A6" s="6">
        <v>45935</v>
      </c>
      <c r="B6" s="5" t="s">
        <v>10</v>
      </c>
      <c r="C6" s="5" t="s">
        <v>59</v>
      </c>
      <c r="D6" s="5">
        <v>6158</v>
      </c>
    </row>
    <row r="7" spans="1:4" x14ac:dyDescent="0.3">
      <c r="A7" s="6">
        <v>45936</v>
      </c>
      <c r="B7" s="5" t="s">
        <v>11</v>
      </c>
      <c r="C7" s="5" t="s">
        <v>59</v>
      </c>
      <c r="D7" s="5">
        <v>200</v>
      </c>
    </row>
    <row r="8" spans="1:4" x14ac:dyDescent="0.3">
      <c r="A8" s="6">
        <v>45937</v>
      </c>
      <c r="B8" s="5" t="s">
        <v>12</v>
      </c>
      <c r="C8" s="5" t="s">
        <v>60</v>
      </c>
      <c r="D8" s="5">
        <v>84</v>
      </c>
    </row>
    <row r="9" spans="1:4" x14ac:dyDescent="0.3">
      <c r="A9" s="6">
        <v>45938</v>
      </c>
      <c r="B9" s="5" t="s">
        <v>13</v>
      </c>
      <c r="C9" s="5" t="s">
        <v>60</v>
      </c>
      <c r="D9" s="5">
        <v>51</v>
      </c>
    </row>
    <row r="10" spans="1:4" x14ac:dyDescent="0.3">
      <c r="A10" s="6">
        <v>45939</v>
      </c>
      <c r="B10" s="5" t="s">
        <v>14</v>
      </c>
      <c r="C10" s="5" t="s">
        <v>59</v>
      </c>
      <c r="D10" s="5">
        <v>51</v>
      </c>
    </row>
    <row r="11" spans="1:4" x14ac:dyDescent="0.3">
      <c r="A11" s="6">
        <v>45940</v>
      </c>
      <c r="B11" s="5" t="s">
        <v>15</v>
      </c>
      <c r="C11" s="5" t="s">
        <v>59</v>
      </c>
      <c r="D11" s="5">
        <v>1851</v>
      </c>
    </row>
    <row r="12" spans="1:4" x14ac:dyDescent="0.3">
      <c r="A12" s="6">
        <v>45941</v>
      </c>
      <c r="B12" s="5" t="s">
        <v>16</v>
      </c>
      <c r="C12" s="5" t="s">
        <v>60</v>
      </c>
      <c r="D12" s="5">
        <v>600</v>
      </c>
    </row>
    <row r="13" spans="1:4" x14ac:dyDescent="0.3">
      <c r="A13" s="6">
        <v>45942</v>
      </c>
      <c r="B13" s="5" t="s">
        <v>17</v>
      </c>
      <c r="C13" s="5" t="s">
        <v>60</v>
      </c>
      <c r="D13" s="5">
        <v>15</v>
      </c>
    </row>
    <row r="14" spans="1:4" x14ac:dyDescent="0.3">
      <c r="A14" s="6">
        <v>45943</v>
      </c>
      <c r="B14" s="5" t="s">
        <v>18</v>
      </c>
      <c r="C14" s="5" t="s">
        <v>59</v>
      </c>
      <c r="D14" s="5">
        <v>1</v>
      </c>
    </row>
    <row r="15" spans="1:4" x14ac:dyDescent="0.3">
      <c r="A15" s="6">
        <v>45944</v>
      </c>
      <c r="B15" s="5" t="s">
        <v>19</v>
      </c>
      <c r="C15" s="5" t="s">
        <v>60</v>
      </c>
      <c r="D15" s="5">
        <v>51</v>
      </c>
    </row>
    <row r="16" spans="1:4" x14ac:dyDescent="0.3">
      <c r="A16" s="6">
        <v>45945</v>
      </c>
      <c r="B16" s="5" t="s">
        <v>20</v>
      </c>
      <c r="C16" s="5" t="s">
        <v>60</v>
      </c>
      <c r="D16" s="5">
        <v>15</v>
      </c>
    </row>
    <row r="17" spans="1:4" x14ac:dyDescent="0.3">
      <c r="A17" s="6">
        <v>45946</v>
      </c>
      <c r="B17" s="5" t="s">
        <v>21</v>
      </c>
      <c r="C17" s="5" t="s">
        <v>60</v>
      </c>
      <c r="D17" s="5">
        <v>89</v>
      </c>
    </row>
    <row r="18" spans="1:4" x14ac:dyDescent="0.3">
      <c r="A18" s="6">
        <v>45947</v>
      </c>
      <c r="B18" s="5" t="s">
        <v>22</v>
      </c>
      <c r="C18" s="5" t="s">
        <v>60</v>
      </c>
      <c r="D18" s="5">
        <v>46</v>
      </c>
    </row>
    <row r="19" spans="1:4" x14ac:dyDescent="0.3">
      <c r="A19" s="6">
        <v>45948</v>
      </c>
      <c r="B19" s="5" t="s">
        <v>23</v>
      </c>
      <c r="C19" s="5" t="s">
        <v>59</v>
      </c>
      <c r="D19" s="5">
        <v>2000</v>
      </c>
    </row>
    <row r="20" spans="1:4" x14ac:dyDescent="0.3">
      <c r="A20" s="6">
        <v>45949</v>
      </c>
      <c r="B20" s="5" t="s">
        <v>24</v>
      </c>
      <c r="C20" s="5" t="s">
        <v>59</v>
      </c>
      <c r="D20" s="5">
        <v>76</v>
      </c>
    </row>
    <row r="21" spans="1:4" x14ac:dyDescent="0.3">
      <c r="A21" s="6">
        <v>45950</v>
      </c>
      <c r="B21" s="5" t="s">
        <v>25</v>
      </c>
      <c r="C21" s="5" t="s">
        <v>59</v>
      </c>
      <c r="D21" s="5">
        <v>59</v>
      </c>
    </row>
    <row r="22" spans="1:4" x14ac:dyDescent="0.3">
      <c r="A22" s="6">
        <v>45951</v>
      </c>
      <c r="B22" s="5" t="s">
        <v>6</v>
      </c>
      <c r="C22" s="5" t="s">
        <v>60</v>
      </c>
      <c r="D22" s="5">
        <v>91</v>
      </c>
    </row>
    <row r="23" spans="1:4" x14ac:dyDescent="0.3">
      <c r="A23" s="6">
        <v>45952</v>
      </c>
      <c r="B23" s="5" t="s">
        <v>7</v>
      </c>
      <c r="C23" s="5" t="s">
        <v>59</v>
      </c>
      <c r="D23" s="5">
        <v>45</v>
      </c>
    </row>
    <row r="24" spans="1:4" x14ac:dyDescent="0.3">
      <c r="A24" s="6">
        <v>45953</v>
      </c>
      <c r="B24" s="5" t="s">
        <v>8</v>
      </c>
      <c r="C24" s="5" t="s">
        <v>60</v>
      </c>
      <c r="D24" s="5">
        <v>82</v>
      </c>
    </row>
    <row r="25" spans="1:4" x14ac:dyDescent="0.3">
      <c r="A25" s="6">
        <v>45954</v>
      </c>
      <c r="B25" s="5" t="s">
        <v>9</v>
      </c>
      <c r="C25" s="5" t="s">
        <v>59</v>
      </c>
      <c r="D25" s="5">
        <v>57</v>
      </c>
    </row>
    <row r="26" spans="1:4" x14ac:dyDescent="0.3">
      <c r="A26" s="6">
        <v>45955</v>
      </c>
      <c r="B26" s="5" t="s">
        <v>10</v>
      </c>
      <c r="C26" s="5" t="s">
        <v>60</v>
      </c>
      <c r="D26" s="5">
        <v>26</v>
      </c>
    </row>
    <row r="27" spans="1:4" x14ac:dyDescent="0.3">
      <c r="A27" s="6">
        <v>45956</v>
      </c>
      <c r="B27" s="5" t="s">
        <v>11</v>
      </c>
      <c r="C27" s="5" t="s">
        <v>59</v>
      </c>
      <c r="D27" s="5">
        <v>64</v>
      </c>
    </row>
    <row r="28" spans="1:4" x14ac:dyDescent="0.3">
      <c r="A28" s="6">
        <v>45957</v>
      </c>
      <c r="B28" s="5" t="s">
        <v>12</v>
      </c>
      <c r="C28" s="5" t="s">
        <v>59</v>
      </c>
      <c r="D28" s="5">
        <v>650</v>
      </c>
    </row>
    <row r="29" spans="1:4" x14ac:dyDescent="0.3">
      <c r="A29" s="6">
        <v>45958</v>
      </c>
      <c r="B29" s="5" t="s">
        <v>13</v>
      </c>
      <c r="C29" s="5" t="s">
        <v>59</v>
      </c>
      <c r="D29" s="5">
        <v>400</v>
      </c>
    </row>
    <row r="30" spans="1:4" x14ac:dyDescent="0.3">
      <c r="A30" s="6">
        <v>45959</v>
      </c>
      <c r="B30" s="5" t="s">
        <v>14</v>
      </c>
      <c r="C30" s="5" t="s">
        <v>59</v>
      </c>
      <c r="D30" s="5">
        <v>216</v>
      </c>
    </row>
    <row r="31" spans="1:4" x14ac:dyDescent="0.3">
      <c r="A31" s="6">
        <v>45960</v>
      </c>
      <c r="B31" s="5" t="s">
        <v>15</v>
      </c>
      <c r="C31" s="5" t="s">
        <v>59</v>
      </c>
      <c r="D31" s="5">
        <v>26</v>
      </c>
    </row>
    <row r="32" spans="1:4" x14ac:dyDescent="0.3">
      <c r="A32" s="6">
        <v>45961</v>
      </c>
      <c r="B32" s="5" t="s">
        <v>16</v>
      </c>
      <c r="C32" s="5" t="s">
        <v>59</v>
      </c>
      <c r="D32" s="5">
        <v>1100</v>
      </c>
    </row>
    <row r="33" spans="1:4" x14ac:dyDescent="0.3">
      <c r="A33" s="6">
        <v>45962</v>
      </c>
      <c r="B33" s="5" t="s">
        <v>17</v>
      </c>
      <c r="C33" s="5" t="s">
        <v>60</v>
      </c>
      <c r="D33" s="5">
        <v>94</v>
      </c>
    </row>
    <row r="34" spans="1:4" x14ac:dyDescent="0.3">
      <c r="A34" s="6">
        <v>45963</v>
      </c>
      <c r="B34" s="5" t="s">
        <v>18</v>
      </c>
      <c r="C34" s="5" t="s">
        <v>60</v>
      </c>
      <c r="D34" s="5">
        <v>62</v>
      </c>
    </row>
    <row r="35" spans="1:4" x14ac:dyDescent="0.3">
      <c r="A35" s="6">
        <v>45964</v>
      </c>
      <c r="B35" s="5" t="s">
        <v>19</v>
      </c>
      <c r="C35" s="5" t="s">
        <v>60</v>
      </c>
      <c r="D35" s="5">
        <v>2</v>
      </c>
    </row>
    <row r="36" spans="1:4" x14ac:dyDescent="0.3">
      <c r="A36" s="6">
        <v>45965</v>
      </c>
      <c r="B36" s="5" t="s">
        <v>20</v>
      </c>
      <c r="C36" s="5" t="s">
        <v>60</v>
      </c>
      <c r="D36" s="5">
        <v>4</v>
      </c>
    </row>
    <row r="37" spans="1:4" x14ac:dyDescent="0.3">
      <c r="A37" s="6">
        <v>45966</v>
      </c>
      <c r="B37" s="5" t="s">
        <v>21</v>
      </c>
      <c r="C37" s="5" t="s">
        <v>60</v>
      </c>
      <c r="D37" s="5">
        <v>48</v>
      </c>
    </row>
    <row r="38" spans="1:4" x14ac:dyDescent="0.3">
      <c r="A38" s="6">
        <v>45967</v>
      </c>
      <c r="B38" s="5" t="s">
        <v>22</v>
      </c>
      <c r="C38" s="5" t="s">
        <v>60</v>
      </c>
      <c r="D38" s="5">
        <v>98</v>
      </c>
    </row>
    <row r="39" spans="1:4" x14ac:dyDescent="0.3">
      <c r="A39" s="6">
        <v>45968</v>
      </c>
      <c r="B39" s="5" t="s">
        <v>23</v>
      </c>
      <c r="C39" s="5" t="s">
        <v>60</v>
      </c>
      <c r="D39" s="5">
        <v>95</v>
      </c>
    </row>
    <row r="40" spans="1:4" x14ac:dyDescent="0.3">
      <c r="A40" s="6">
        <v>45969</v>
      </c>
      <c r="B40" s="5" t="s">
        <v>24</v>
      </c>
      <c r="C40" s="5" t="s">
        <v>60</v>
      </c>
      <c r="D40" s="5">
        <v>89</v>
      </c>
    </row>
    <row r="41" spans="1:4" x14ac:dyDescent="0.3">
      <c r="A41" s="6">
        <v>45970</v>
      </c>
      <c r="B41" s="5" t="s">
        <v>25</v>
      </c>
      <c r="C41" s="5" t="s">
        <v>59</v>
      </c>
      <c r="D41" s="5">
        <v>511</v>
      </c>
    </row>
    <row r="42" spans="1:4" x14ac:dyDescent="0.3">
      <c r="A42" s="6">
        <v>45971</v>
      </c>
      <c r="B42" s="5" t="s">
        <v>6</v>
      </c>
      <c r="C42" s="5" t="s">
        <v>59</v>
      </c>
      <c r="D42" s="5">
        <v>11</v>
      </c>
    </row>
    <row r="43" spans="1:4" x14ac:dyDescent="0.3">
      <c r="A43" s="6">
        <v>45972</v>
      </c>
      <c r="B43" s="5" t="s">
        <v>7</v>
      </c>
      <c r="C43" s="5" t="s">
        <v>59</v>
      </c>
      <c r="D43" s="5">
        <v>98</v>
      </c>
    </row>
    <row r="44" spans="1:4" x14ac:dyDescent="0.3">
      <c r="A44" s="6">
        <v>45973</v>
      </c>
      <c r="B44" s="5" t="s">
        <v>8</v>
      </c>
      <c r="C44" s="5" t="s">
        <v>59</v>
      </c>
      <c r="D44" s="5">
        <v>54</v>
      </c>
    </row>
    <row r="45" spans="1:4" x14ac:dyDescent="0.3">
      <c r="A45" s="6">
        <v>45974</v>
      </c>
      <c r="B45" s="5" t="s">
        <v>9</v>
      </c>
      <c r="C45" s="5" t="s">
        <v>59</v>
      </c>
      <c r="D45" s="5">
        <v>8</v>
      </c>
    </row>
    <row r="46" spans="1:4" x14ac:dyDescent="0.3">
      <c r="A46" s="6">
        <v>45975</v>
      </c>
      <c r="B46" s="5" t="s">
        <v>10</v>
      </c>
      <c r="C46" s="5" t="s">
        <v>60</v>
      </c>
      <c r="D46" s="5">
        <v>94</v>
      </c>
    </row>
    <row r="47" spans="1:4" x14ac:dyDescent="0.3">
      <c r="A47" s="6">
        <v>45976</v>
      </c>
      <c r="B47" s="5" t="s">
        <v>11</v>
      </c>
      <c r="C47" s="5" t="s">
        <v>60</v>
      </c>
      <c r="D47" s="5">
        <v>76</v>
      </c>
    </row>
    <row r="48" spans="1:4" x14ac:dyDescent="0.3">
      <c r="A48" s="6">
        <v>45977</v>
      </c>
      <c r="B48" s="5" t="s">
        <v>12</v>
      </c>
      <c r="C48" s="5" t="s">
        <v>60</v>
      </c>
      <c r="D48" s="5">
        <v>27</v>
      </c>
    </row>
    <row r="49" spans="1:4" x14ac:dyDescent="0.3">
      <c r="A49" s="6">
        <v>45978</v>
      </c>
      <c r="B49" s="5" t="s">
        <v>13</v>
      </c>
      <c r="C49" s="5" t="s">
        <v>59</v>
      </c>
      <c r="D49" s="5">
        <v>95</v>
      </c>
    </row>
    <row r="50" spans="1:4" x14ac:dyDescent="0.3">
      <c r="A50" s="6">
        <v>45979</v>
      </c>
      <c r="B50" s="5" t="s">
        <v>14</v>
      </c>
      <c r="C50" s="5" t="s">
        <v>60</v>
      </c>
      <c r="D50" s="5">
        <v>29</v>
      </c>
    </row>
    <row r="51" spans="1:4" x14ac:dyDescent="0.3">
      <c r="A51" s="6">
        <v>45980</v>
      </c>
      <c r="B51" s="5" t="s">
        <v>15</v>
      </c>
      <c r="C51" s="5" t="s">
        <v>59</v>
      </c>
      <c r="D51" s="5">
        <v>29</v>
      </c>
    </row>
    <row r="52" spans="1:4" x14ac:dyDescent="0.3">
      <c r="A52" s="6">
        <v>45981</v>
      </c>
      <c r="B52" s="5" t="s">
        <v>16</v>
      </c>
      <c r="C52" s="5" t="s">
        <v>60</v>
      </c>
      <c r="D52" s="5">
        <v>30</v>
      </c>
    </row>
    <row r="53" spans="1:4" x14ac:dyDescent="0.3">
      <c r="A53" s="6">
        <v>45982</v>
      </c>
      <c r="B53" s="5" t="s">
        <v>17</v>
      </c>
      <c r="C53" s="5" t="s">
        <v>59</v>
      </c>
      <c r="D53" s="5">
        <v>75</v>
      </c>
    </row>
    <row r="54" spans="1:4" x14ac:dyDescent="0.3">
      <c r="A54" s="6">
        <v>45983</v>
      </c>
      <c r="B54" s="5" t="s">
        <v>18</v>
      </c>
      <c r="C54" s="5" t="s">
        <v>60</v>
      </c>
      <c r="D54" s="5">
        <v>572</v>
      </c>
    </row>
    <row r="55" spans="1:4" x14ac:dyDescent="0.3">
      <c r="A55" s="6">
        <v>45984</v>
      </c>
      <c r="B55" s="5" t="s">
        <v>19</v>
      </c>
      <c r="C55" s="5" t="s">
        <v>59</v>
      </c>
      <c r="D55" s="5">
        <v>575</v>
      </c>
    </row>
    <row r="56" spans="1:4" x14ac:dyDescent="0.3">
      <c r="A56" s="6">
        <v>45985</v>
      </c>
      <c r="B56" s="5" t="s">
        <v>20</v>
      </c>
      <c r="C56" s="5" t="s">
        <v>59</v>
      </c>
      <c r="D56" s="5">
        <v>448</v>
      </c>
    </row>
    <row r="57" spans="1:4" x14ac:dyDescent="0.3">
      <c r="A57" s="6">
        <v>45986</v>
      </c>
      <c r="B57" s="5" t="s">
        <v>21</v>
      </c>
      <c r="C57" s="5" t="s">
        <v>60</v>
      </c>
      <c r="D57" s="5">
        <v>87</v>
      </c>
    </row>
    <row r="58" spans="1:4" x14ac:dyDescent="0.3">
      <c r="A58" s="6">
        <v>45987</v>
      </c>
      <c r="B58" s="5" t="s">
        <v>22</v>
      </c>
      <c r="C58" s="5" t="s">
        <v>59</v>
      </c>
      <c r="D58" s="5">
        <v>230</v>
      </c>
    </row>
    <row r="59" spans="1:4" x14ac:dyDescent="0.3">
      <c r="A59" s="6">
        <v>45988</v>
      </c>
      <c r="B59" s="5" t="s">
        <v>23</v>
      </c>
      <c r="C59" s="5" t="s">
        <v>60</v>
      </c>
      <c r="D59" s="5">
        <v>2575</v>
      </c>
    </row>
    <row r="60" spans="1:4" x14ac:dyDescent="0.3">
      <c r="A60" s="6">
        <v>45989</v>
      </c>
      <c r="B60" s="5" t="s">
        <v>24</v>
      </c>
      <c r="C60" s="5" t="s">
        <v>59</v>
      </c>
      <c r="D60" s="5">
        <v>100</v>
      </c>
    </row>
    <row r="61" spans="1:4" x14ac:dyDescent="0.3">
      <c r="A61" s="6">
        <v>45990</v>
      </c>
      <c r="B61" s="5" t="s">
        <v>25</v>
      </c>
      <c r="C61" s="5" t="s">
        <v>60</v>
      </c>
      <c r="D61" s="5">
        <v>557</v>
      </c>
    </row>
    <row r="62" spans="1:4" x14ac:dyDescent="0.3">
      <c r="A62" s="6">
        <v>45991</v>
      </c>
      <c r="B62" s="5" t="s">
        <v>6</v>
      </c>
      <c r="C62" s="5" t="s">
        <v>59</v>
      </c>
      <c r="D62" s="5">
        <v>57</v>
      </c>
    </row>
    <row r="63" spans="1:4" x14ac:dyDescent="0.3">
      <c r="A63" s="6">
        <v>45992</v>
      </c>
      <c r="B63" s="5" t="s">
        <v>7</v>
      </c>
      <c r="C63" s="5" t="s">
        <v>60</v>
      </c>
      <c r="D63" s="5">
        <v>75</v>
      </c>
    </row>
    <row r="64" spans="1:4" x14ac:dyDescent="0.3">
      <c r="A64" s="6">
        <v>45993</v>
      </c>
      <c r="B64" s="5" t="s">
        <v>8</v>
      </c>
      <c r="C64" s="5" t="s">
        <v>59</v>
      </c>
      <c r="D64" s="5">
        <v>557</v>
      </c>
    </row>
    <row r="65" spans="1:4" x14ac:dyDescent="0.3">
      <c r="A65" s="6">
        <v>45994</v>
      </c>
      <c r="B65" s="5" t="s">
        <v>9</v>
      </c>
      <c r="C65" s="5" t="s">
        <v>60</v>
      </c>
      <c r="D65" s="5">
        <v>57</v>
      </c>
    </row>
    <row r="66" spans="1:4" x14ac:dyDescent="0.3">
      <c r="A66" s="6">
        <v>45995</v>
      </c>
      <c r="B66" s="5" t="s">
        <v>10</v>
      </c>
      <c r="C66" s="5" t="s">
        <v>59</v>
      </c>
      <c r="D66" s="5">
        <v>7567</v>
      </c>
    </row>
    <row r="67" spans="1:4" x14ac:dyDescent="0.3">
      <c r="A67" s="6">
        <v>45996</v>
      </c>
      <c r="B67" s="5" t="s">
        <v>11</v>
      </c>
      <c r="C67" s="5" t="s">
        <v>59</v>
      </c>
      <c r="D67" s="5">
        <v>575</v>
      </c>
    </row>
    <row r="68" spans="1:4" x14ac:dyDescent="0.3">
      <c r="A68" s="6">
        <v>45997</v>
      </c>
      <c r="B68" s="5" t="s">
        <v>12</v>
      </c>
      <c r="C68" s="5" t="s">
        <v>60</v>
      </c>
      <c r="D68" s="5">
        <v>572</v>
      </c>
    </row>
    <row r="69" spans="1:4" x14ac:dyDescent="0.3">
      <c r="A69" s="6">
        <v>45998</v>
      </c>
      <c r="B69" s="5" t="s">
        <v>13</v>
      </c>
      <c r="C69" s="5" t="s">
        <v>59</v>
      </c>
      <c r="D69" s="5">
        <v>57</v>
      </c>
    </row>
    <row r="70" spans="1:4" x14ac:dyDescent="0.3">
      <c r="A70" s="6">
        <v>45999</v>
      </c>
      <c r="B70" s="5" t="s">
        <v>14</v>
      </c>
      <c r="C70" s="5" t="s">
        <v>59</v>
      </c>
      <c r="D70" s="5">
        <v>575</v>
      </c>
    </row>
    <row r="71" spans="1:4" x14ac:dyDescent="0.3">
      <c r="A71" s="6">
        <v>46000</v>
      </c>
      <c r="B71" s="5" t="s">
        <v>15</v>
      </c>
      <c r="C71" s="5" t="s">
        <v>59</v>
      </c>
      <c r="D71" s="5">
        <v>775</v>
      </c>
    </row>
    <row r="72" spans="1:4" x14ac:dyDescent="0.3">
      <c r="A72" s="6">
        <v>46001</v>
      </c>
      <c r="B72" s="5" t="s">
        <v>16</v>
      </c>
      <c r="C72" s="5" t="s">
        <v>60</v>
      </c>
      <c r="D72" s="5">
        <v>400</v>
      </c>
    </row>
    <row r="73" spans="1:4" x14ac:dyDescent="0.3">
      <c r="A73" s="6">
        <v>46002</v>
      </c>
      <c r="B73" s="5" t="s">
        <v>17</v>
      </c>
      <c r="C73" s="5" t="s">
        <v>60</v>
      </c>
      <c r="D73" s="5">
        <v>45</v>
      </c>
    </row>
    <row r="74" spans="1:4" x14ac:dyDescent="0.3">
      <c r="A74" s="6">
        <v>46003</v>
      </c>
      <c r="B74" s="5" t="s">
        <v>18</v>
      </c>
      <c r="C74" s="5" t="s">
        <v>60</v>
      </c>
      <c r="D74" s="5">
        <v>120</v>
      </c>
    </row>
    <row r="75" spans="1:4" x14ac:dyDescent="0.3">
      <c r="A75" s="6">
        <v>46004</v>
      </c>
      <c r="B75" s="5" t="s">
        <v>19</v>
      </c>
      <c r="C75" s="5" t="s">
        <v>60</v>
      </c>
      <c r="D75" s="5">
        <v>222</v>
      </c>
    </row>
    <row r="76" spans="1:4" x14ac:dyDescent="0.3">
      <c r="A76" s="6">
        <v>46005</v>
      </c>
      <c r="B76" s="5" t="s">
        <v>20</v>
      </c>
      <c r="C76" s="5" t="s">
        <v>59</v>
      </c>
      <c r="D76" s="5">
        <v>575</v>
      </c>
    </row>
    <row r="77" spans="1:4" x14ac:dyDescent="0.3">
      <c r="A77" s="6">
        <v>46006</v>
      </c>
      <c r="B77" s="5" t="s">
        <v>21</v>
      </c>
      <c r="C77" s="5" t="s">
        <v>59</v>
      </c>
      <c r="D77" s="5">
        <v>750</v>
      </c>
    </row>
    <row r="78" spans="1:4" x14ac:dyDescent="0.3">
      <c r="A78" s="6">
        <v>46007</v>
      </c>
      <c r="B78" s="5" t="s">
        <v>22</v>
      </c>
      <c r="C78" s="5" t="s">
        <v>60</v>
      </c>
      <c r="D78" s="5">
        <v>9</v>
      </c>
    </row>
    <row r="79" spans="1:4" x14ac:dyDescent="0.3">
      <c r="A79" s="6">
        <v>46008</v>
      </c>
      <c r="B79" s="5" t="s">
        <v>23</v>
      </c>
      <c r="C79" s="5" t="s">
        <v>59</v>
      </c>
      <c r="D79" s="5">
        <v>900</v>
      </c>
    </row>
    <row r="80" spans="1:4" x14ac:dyDescent="0.3">
      <c r="A80" s="6">
        <v>46009</v>
      </c>
      <c r="B80" s="5" t="s">
        <v>24</v>
      </c>
      <c r="C80" s="5" t="s">
        <v>59</v>
      </c>
      <c r="D80" s="5">
        <v>94</v>
      </c>
    </row>
    <row r="81" spans="1:4" x14ac:dyDescent="0.3">
      <c r="A81" s="6">
        <v>46010</v>
      </c>
      <c r="B81" s="5" t="s">
        <v>25</v>
      </c>
      <c r="C81" s="5" t="s">
        <v>59</v>
      </c>
      <c r="D81" s="5">
        <v>191</v>
      </c>
    </row>
    <row r="82" spans="1:4" x14ac:dyDescent="0.3">
      <c r="A82" s="6">
        <v>46011</v>
      </c>
      <c r="B82" s="5" t="s">
        <v>6</v>
      </c>
      <c r="C82" s="5" t="s">
        <v>60</v>
      </c>
      <c r="D82" s="5">
        <v>19</v>
      </c>
    </row>
    <row r="83" spans="1:4" x14ac:dyDescent="0.3">
      <c r="A83" s="6">
        <v>46012</v>
      </c>
      <c r="B83" s="5" t="s">
        <v>7</v>
      </c>
      <c r="C83" s="5" t="s">
        <v>60</v>
      </c>
      <c r="D83" s="5">
        <v>57</v>
      </c>
    </row>
    <row r="84" spans="1:4" x14ac:dyDescent="0.3">
      <c r="A84" s="6">
        <v>46013</v>
      </c>
      <c r="B84" s="5" t="s">
        <v>8</v>
      </c>
      <c r="C84" s="5" t="s">
        <v>59</v>
      </c>
      <c r="D84" s="5">
        <v>72</v>
      </c>
    </row>
    <row r="85" spans="1:4" x14ac:dyDescent="0.3">
      <c r="A85" s="6">
        <v>46014</v>
      </c>
      <c r="B85" s="5" t="s">
        <v>9</v>
      </c>
      <c r="C85" s="5" t="s">
        <v>60</v>
      </c>
      <c r="D85" s="5">
        <v>693</v>
      </c>
    </row>
    <row r="86" spans="1:4" x14ac:dyDescent="0.3">
      <c r="A86" s="6">
        <v>46015</v>
      </c>
      <c r="B86" s="5" t="s">
        <v>10</v>
      </c>
      <c r="C86" s="5" t="s">
        <v>59</v>
      </c>
      <c r="D86" s="5">
        <v>75</v>
      </c>
    </row>
    <row r="87" spans="1:4" x14ac:dyDescent="0.3">
      <c r="A87" s="6">
        <v>46016</v>
      </c>
      <c r="B87" s="5" t="s">
        <v>11</v>
      </c>
      <c r="C87" s="5" t="s">
        <v>60</v>
      </c>
      <c r="D87" s="5">
        <v>752</v>
      </c>
    </row>
    <row r="88" spans="1:4" x14ac:dyDescent="0.3">
      <c r="A88" s="6">
        <v>46017</v>
      </c>
      <c r="B88" s="5" t="s">
        <v>12</v>
      </c>
      <c r="C88" s="5" t="s">
        <v>59</v>
      </c>
      <c r="D88" s="5">
        <v>7</v>
      </c>
    </row>
    <row r="89" spans="1:4" x14ac:dyDescent="0.3">
      <c r="A89" s="6">
        <v>46018</v>
      </c>
      <c r="B89" s="5" t="s">
        <v>13</v>
      </c>
      <c r="C89" s="5" t="s">
        <v>60</v>
      </c>
      <c r="D89" s="5">
        <v>5</v>
      </c>
    </row>
    <row r="90" spans="1:4" x14ac:dyDescent="0.3">
      <c r="A90" s="6">
        <v>46019</v>
      </c>
      <c r="B90" s="5" t="s">
        <v>14</v>
      </c>
      <c r="C90" s="5" t="s">
        <v>59</v>
      </c>
      <c r="D90" s="5">
        <v>84</v>
      </c>
    </row>
    <row r="91" spans="1:4" x14ac:dyDescent="0.3">
      <c r="A91" s="6">
        <v>46020</v>
      </c>
      <c r="B91" s="5" t="s">
        <v>15</v>
      </c>
      <c r="C91" s="5" t="s">
        <v>59</v>
      </c>
      <c r="D91" s="5">
        <v>66</v>
      </c>
    </row>
    <row r="92" spans="1:4" x14ac:dyDescent="0.3">
      <c r="A92" s="6">
        <v>46021</v>
      </c>
      <c r="B92" s="5" t="s">
        <v>16</v>
      </c>
      <c r="C92" s="5" t="s">
        <v>60</v>
      </c>
      <c r="D92" s="5">
        <v>99</v>
      </c>
    </row>
    <row r="93" spans="1:4" x14ac:dyDescent="0.3">
      <c r="A93" s="6">
        <v>46022</v>
      </c>
      <c r="B93" s="5" t="s">
        <v>17</v>
      </c>
      <c r="C93" s="5" t="s">
        <v>59</v>
      </c>
      <c r="D93" s="5">
        <v>984</v>
      </c>
    </row>
    <row r="94" spans="1:4" x14ac:dyDescent="0.3">
      <c r="A94" s="6">
        <v>46023</v>
      </c>
      <c r="B94" s="5" t="s">
        <v>18</v>
      </c>
      <c r="C94" s="5" t="s">
        <v>59</v>
      </c>
      <c r="D94" s="5">
        <v>844</v>
      </c>
    </row>
    <row r="95" spans="1:4" x14ac:dyDescent="0.3">
      <c r="A95" s="6">
        <v>46024</v>
      </c>
      <c r="B95" s="5" t="s">
        <v>19</v>
      </c>
      <c r="C95" s="5" t="s">
        <v>59</v>
      </c>
      <c r="D95" s="5">
        <v>84</v>
      </c>
    </row>
    <row r="96" spans="1:4" x14ac:dyDescent="0.3">
      <c r="A96" s="6">
        <v>46025</v>
      </c>
      <c r="B96" s="5" t="s">
        <v>20</v>
      </c>
      <c r="C96" s="5" t="s">
        <v>59</v>
      </c>
      <c r="D96" s="5">
        <v>48</v>
      </c>
    </row>
    <row r="97" spans="1:4" x14ac:dyDescent="0.3">
      <c r="A97" s="6">
        <v>46026</v>
      </c>
      <c r="B97" s="5" t="s">
        <v>21</v>
      </c>
      <c r="C97" s="5" t="s">
        <v>60</v>
      </c>
      <c r="D97" s="5">
        <v>494</v>
      </c>
    </row>
    <row r="98" spans="1:4" x14ac:dyDescent="0.3">
      <c r="A98" s="6">
        <v>46027</v>
      </c>
      <c r="B98" s="5" t="s">
        <v>22</v>
      </c>
      <c r="C98" s="5" t="s">
        <v>60</v>
      </c>
      <c r="D98" s="5">
        <v>48</v>
      </c>
    </row>
    <row r="99" spans="1:4" x14ac:dyDescent="0.3">
      <c r="A99" s="6">
        <v>46028</v>
      </c>
      <c r="B99" s="5" t="s">
        <v>23</v>
      </c>
      <c r="C99" s="5" t="s">
        <v>59</v>
      </c>
      <c r="D99" s="5">
        <v>484</v>
      </c>
    </row>
    <row r="100" spans="1:4" x14ac:dyDescent="0.3">
      <c r="A100" s="6">
        <v>46029</v>
      </c>
      <c r="B100" s="5" t="s">
        <v>24</v>
      </c>
      <c r="C100" s="5" t="s">
        <v>59</v>
      </c>
      <c r="D100" s="5">
        <v>84</v>
      </c>
    </row>
    <row r="101" spans="1:4" x14ac:dyDescent="0.3">
      <c r="A101" s="6">
        <v>46030</v>
      </c>
      <c r="B101" s="5" t="s">
        <v>25</v>
      </c>
      <c r="C101" s="5" t="s">
        <v>60</v>
      </c>
      <c r="D101" s="5">
        <v>18</v>
      </c>
    </row>
    <row r="102" spans="1:4" x14ac:dyDescent="0.3">
      <c r="A102" s="5"/>
      <c r="B102" s="5"/>
      <c r="C102" s="5"/>
      <c r="D102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1311-957A-47ED-B2E7-19F5194E02C2}">
  <dimension ref="A1:E21"/>
  <sheetViews>
    <sheetView zoomScale="113" workbookViewId="0">
      <selection activeCell="E21" sqref="A1:E21"/>
    </sheetView>
  </sheetViews>
  <sheetFormatPr defaultRowHeight="14.4" x14ac:dyDescent="0.3"/>
  <cols>
    <col min="1" max="1" width="11.6640625" customWidth="1"/>
    <col min="2" max="2" width="15.109375" customWidth="1"/>
    <col min="3" max="3" width="15.77734375" customWidth="1"/>
    <col min="4" max="4" width="14" customWidth="1"/>
    <col min="5" max="5" width="11.21875" customWidth="1"/>
  </cols>
  <sheetData>
    <row r="1" spans="1:5" s="1" customFormat="1" x14ac:dyDescent="0.3">
      <c r="A1" s="8" t="s">
        <v>0</v>
      </c>
      <c r="B1" s="8" t="s">
        <v>1</v>
      </c>
      <c r="C1" s="8" t="s">
        <v>61</v>
      </c>
      <c r="D1" s="8" t="s">
        <v>4</v>
      </c>
      <c r="E1" s="8" t="s">
        <v>62</v>
      </c>
    </row>
    <row r="2" spans="1:5" x14ac:dyDescent="0.3">
      <c r="A2" s="7" t="s">
        <v>6</v>
      </c>
      <c r="B2" s="7" t="str">
        <f>_xlfn.XLOOKUP(A2,Inventory_Data!A:A,Inventory_Data!B:B)</f>
        <v>Rice Bag</v>
      </c>
      <c r="C2" s="7">
        <f>IFERROR(
 SUMIFS(Stock_Movements!D:D, Stock_Movements!B:B, A2, Stock_Movements!C:C, "IN")
 -
 SUMIFS(Stock_Movements!D:D, Stock_Movements!B:B, A2, Stock_Movements!C:C, "OUT"),
0)</f>
        <v>609</v>
      </c>
      <c r="D2" s="7">
        <f>_xlfn.XLOOKUP(A2,Inventory_Data!A:A,Inventory_Data!E:E)</f>
        <v>50</v>
      </c>
      <c r="E2" s="7" t="str">
        <f>IF(C2&lt;0,"DATA ISSUE",IF(C2&lt;=D2,"LOW STOCK","OK"))</f>
        <v>OK</v>
      </c>
    </row>
    <row r="3" spans="1:5" x14ac:dyDescent="0.3">
      <c r="A3" s="7" t="s">
        <v>7</v>
      </c>
      <c r="B3" s="7" t="str">
        <f>_xlfn.XLOOKUP(A3,Inventory_Data!A:A,Inventory_Data!B:B)</f>
        <v>Wheat Flour</v>
      </c>
      <c r="C3" s="7">
        <f>IFERROR(
 SUMIFS(Stock_Movements!D:D, Stock_Movements!B:B, A3, Stock_Movements!C:C, "IN")
 -
 SUMIFS(Stock_Movements!D:D, Stock_Movements!B:B, A3, Stock_Movements!C:C, "OUT"),
0)</f>
        <v>2</v>
      </c>
      <c r="D3" s="7">
        <f>_xlfn.XLOOKUP(A3,Inventory_Data!A:A,Inventory_Data!E:E)</f>
        <v>40</v>
      </c>
      <c r="E3" s="7" t="str">
        <f t="shared" ref="E3:E21" si="0">IF(C3&lt;0,"DATA ISSUE",IF(C3&lt;=D3,"LOW STOCK","OK"))</f>
        <v>LOW STOCK</v>
      </c>
    </row>
    <row r="4" spans="1:5" x14ac:dyDescent="0.3">
      <c r="A4" s="7" t="s">
        <v>8</v>
      </c>
      <c r="B4" s="7" t="str">
        <f>_xlfn.XLOOKUP(A4,Inventory_Data!A:A,Inventory_Data!B:B)</f>
        <v>Cooking Oil</v>
      </c>
      <c r="C4" s="7">
        <f>IFERROR(
 SUMIFS(Stock_Movements!D:D, Stock_Movements!B:B, A4, Stock_Movements!C:C, "IN")
 -
 SUMIFS(Stock_Movements!D:D, Stock_Movements!B:B, A4, Stock_Movements!C:C, "OUT"),
0)</f>
        <v>586</v>
      </c>
      <c r="D4" s="7">
        <f>_xlfn.XLOOKUP(A4,Inventory_Data!A:A,Inventory_Data!E:E)</f>
        <v>30</v>
      </c>
      <c r="E4" s="7" t="str">
        <f t="shared" si="0"/>
        <v>OK</v>
      </c>
    </row>
    <row r="5" spans="1:5" x14ac:dyDescent="0.3">
      <c r="A5" s="7" t="s">
        <v>9</v>
      </c>
      <c r="B5" s="7" t="str">
        <f>_xlfn.XLOOKUP(A5,Inventory_Data!A:A,Inventory_Data!B:B)</f>
        <v>Saop</v>
      </c>
      <c r="C5" s="7">
        <f>IFERROR(
 SUMIFS(Stock_Movements!D:D, Stock_Movements!B:B, A5, Stock_Movements!C:C, "IN")
 -
 SUMIFS(Stock_Movements!D:D, Stock_Movements!B:B, A5, Stock_Movements!C:C, "OUT"),
0)</f>
        <v>5</v>
      </c>
      <c r="D5" s="7">
        <f>_xlfn.XLOOKUP(A5,Inventory_Data!A:A,Inventory_Data!E:E)</f>
        <v>40</v>
      </c>
      <c r="E5" s="7" t="str">
        <f t="shared" si="0"/>
        <v>LOW STOCK</v>
      </c>
    </row>
    <row r="6" spans="1:5" x14ac:dyDescent="0.3">
      <c r="A6" s="7" t="s">
        <v>10</v>
      </c>
      <c r="B6" s="7" t="str">
        <f>_xlfn.XLOOKUP(A6,Inventory_Data!A:A,Inventory_Data!B:B)</f>
        <v>Shampoo</v>
      </c>
      <c r="C6" s="7">
        <f>IFERROR(
 SUMIFS(Stock_Movements!D:D, Stock_Movements!B:B, A6, Stock_Movements!C:C, "IN")
 -
 SUMIFS(Stock_Movements!D:D, Stock_Movements!B:B, A6, Stock_Movements!C:C, "OUT"),
0)</f>
        <v>13680</v>
      </c>
      <c r="D6" s="7">
        <f>_xlfn.XLOOKUP(A6,Inventory_Data!A:A,Inventory_Data!E:E)</f>
        <v>60</v>
      </c>
      <c r="E6" s="7" t="str">
        <f t="shared" si="0"/>
        <v>OK</v>
      </c>
    </row>
    <row r="7" spans="1:5" x14ac:dyDescent="0.3">
      <c r="A7" s="7" t="s">
        <v>11</v>
      </c>
      <c r="B7" s="7" t="str">
        <f>_xlfn.XLOOKUP(A7,Inventory_Data!A:A,Inventory_Data!B:B)</f>
        <v>NoteBook</v>
      </c>
      <c r="C7" s="7">
        <f>IFERROR(
 SUMIFS(Stock_Movements!D:D, Stock_Movements!B:B, A7, Stock_Movements!C:C, "IN")
 -
 SUMIFS(Stock_Movements!D:D, Stock_Movements!B:B, A7, Stock_Movements!C:C, "OUT"),
0)</f>
        <v>11</v>
      </c>
      <c r="D7" s="7">
        <f>_xlfn.XLOOKUP(A7,Inventory_Data!A:A,Inventory_Data!E:E)</f>
        <v>100</v>
      </c>
      <c r="E7" s="7" t="str">
        <f t="shared" si="0"/>
        <v>LOW STOCK</v>
      </c>
    </row>
    <row r="8" spans="1:5" x14ac:dyDescent="0.3">
      <c r="A8" s="7" t="s">
        <v>12</v>
      </c>
      <c r="B8" s="7" t="str">
        <f>_xlfn.XLOOKUP(A8,Inventory_Data!A:A,Inventory_Data!B:B)</f>
        <v>Pen</v>
      </c>
      <c r="C8" s="7">
        <f>IFERROR(
 SUMIFS(Stock_Movements!D:D, Stock_Movements!B:B, A8, Stock_Movements!C:C, "IN")
 -
 SUMIFS(Stock_Movements!D:D, Stock_Movements!B:B, A8, Stock_Movements!C:C, "OUT"),
0)</f>
        <v>-26</v>
      </c>
      <c r="D8" s="7">
        <f>_xlfn.XLOOKUP(A8,Inventory_Data!A:A,Inventory_Data!E:E)</f>
        <v>200</v>
      </c>
      <c r="E8" s="7" t="str">
        <f t="shared" si="0"/>
        <v>DATA ISSUE</v>
      </c>
    </row>
    <row r="9" spans="1:5" x14ac:dyDescent="0.3">
      <c r="A9" s="7" t="s">
        <v>13</v>
      </c>
      <c r="B9" s="7" t="str">
        <f>_xlfn.XLOOKUP(A9,Inventory_Data!A:A,Inventory_Data!B:B)</f>
        <v>Led Bulb</v>
      </c>
      <c r="C9" s="7">
        <f>IFERROR(
 SUMIFS(Stock_Movements!D:D, Stock_Movements!B:B, A9, Stock_Movements!C:C, "IN")
 -
 SUMIFS(Stock_Movements!D:D, Stock_Movements!B:B, A9, Stock_Movements!C:C, "OUT"),
0)</f>
        <v>496</v>
      </c>
      <c r="D9" s="7">
        <f>_xlfn.XLOOKUP(A9,Inventory_Data!A:A,Inventory_Data!E:E)</f>
        <v>25</v>
      </c>
      <c r="E9" s="7" t="str">
        <f t="shared" si="0"/>
        <v>OK</v>
      </c>
    </row>
    <row r="10" spans="1:5" x14ac:dyDescent="0.3">
      <c r="A10" s="7" t="s">
        <v>14</v>
      </c>
      <c r="B10" s="7" t="str">
        <f>_xlfn.XLOOKUP(A10,Inventory_Data!A:A,Inventory_Data!B:B)</f>
        <v>Extension Cord</v>
      </c>
      <c r="C10" s="7">
        <f>IFERROR(
 SUMIFS(Stock_Movements!D:D, Stock_Movements!B:B, A10, Stock_Movements!C:C, "IN")
 -
 SUMIFS(Stock_Movements!D:D, Stock_Movements!B:B, A10, Stock_Movements!C:C, "OUT"),
0)</f>
        <v>897</v>
      </c>
      <c r="D10" s="7">
        <f>_xlfn.XLOOKUP(A10,Inventory_Data!A:A,Inventory_Data!E:E)</f>
        <v>20</v>
      </c>
      <c r="E10" s="7" t="str">
        <f t="shared" si="0"/>
        <v>OK</v>
      </c>
    </row>
    <row r="11" spans="1:5" x14ac:dyDescent="0.3">
      <c r="A11" s="7" t="s">
        <v>15</v>
      </c>
      <c r="B11" s="7" t="str">
        <f>_xlfn.XLOOKUP(A11,Inventory_Data!A:A,Inventory_Data!B:B)</f>
        <v>Detergent</v>
      </c>
      <c r="C11" s="7">
        <f>IFERROR(
 SUMIFS(Stock_Movements!D:D, Stock_Movements!B:B, A11, Stock_Movements!C:C, "IN")
 -
 SUMIFS(Stock_Movements!D:D, Stock_Movements!B:B, A11, Stock_Movements!C:C, "OUT"),
0)</f>
        <v>2747</v>
      </c>
      <c r="D11" s="7">
        <f>_xlfn.XLOOKUP(A11,Inventory_Data!A:A,Inventory_Data!E:E)</f>
        <v>35</v>
      </c>
      <c r="E11" s="7" t="str">
        <f t="shared" si="0"/>
        <v>OK</v>
      </c>
    </row>
    <row r="12" spans="1:5" x14ac:dyDescent="0.3">
      <c r="A12" s="7" t="s">
        <v>16</v>
      </c>
      <c r="B12" s="7" t="str">
        <f>_xlfn.XLOOKUP(A12,Inventory_Data!A:A,Inventory_Data!B:B)</f>
        <v>Onion</v>
      </c>
      <c r="C12" s="7">
        <f>IFERROR(
 SUMIFS(Stock_Movements!D:D, Stock_Movements!B:B, A12, Stock_Movements!C:C, "IN")
 -
 SUMIFS(Stock_Movements!D:D, Stock_Movements!B:B, A12, Stock_Movements!C:C, "OUT"),
0)</f>
        <v>-29</v>
      </c>
      <c r="D12" s="7">
        <f>_xlfn.XLOOKUP(A12,Inventory_Data!A:A,Inventory_Data!E:E)</f>
        <v>40</v>
      </c>
      <c r="E12" s="7" t="str">
        <f t="shared" si="0"/>
        <v>DATA ISSUE</v>
      </c>
    </row>
    <row r="13" spans="1:5" x14ac:dyDescent="0.3">
      <c r="A13" s="7" t="s">
        <v>17</v>
      </c>
      <c r="B13" s="7" t="str">
        <f>_xlfn.XLOOKUP(A13,Inventory_Data!A:A,Inventory_Data!B:B)</f>
        <v>Tomato</v>
      </c>
      <c r="C13" s="7">
        <f>IFERROR(
 SUMIFS(Stock_Movements!D:D, Stock_Movements!B:B, A13, Stock_Movements!C:C, "IN")
 -
 SUMIFS(Stock_Movements!D:D, Stock_Movements!B:B, A13, Stock_Movements!C:C, "OUT"),
0)</f>
        <v>905</v>
      </c>
      <c r="D13" s="7">
        <f>_xlfn.XLOOKUP(A13,Inventory_Data!A:A,Inventory_Data!E:E)</f>
        <v>30</v>
      </c>
      <c r="E13" s="7" t="str">
        <f t="shared" si="0"/>
        <v>OK</v>
      </c>
    </row>
    <row r="14" spans="1:5" x14ac:dyDescent="0.3">
      <c r="A14" s="7" t="s">
        <v>18</v>
      </c>
      <c r="B14" s="7" t="str">
        <f>_xlfn.XLOOKUP(A14,Inventory_Data!A:A,Inventory_Data!B:B)</f>
        <v>Speaker</v>
      </c>
      <c r="C14" s="7">
        <f>IFERROR(
 SUMIFS(Stock_Movements!D:D, Stock_Movements!B:B, A14, Stock_Movements!C:C, "IN")
 -
 SUMIFS(Stock_Movements!D:D, Stock_Movements!B:B, A14, Stock_Movements!C:C, "OUT"),
0)</f>
        <v>91</v>
      </c>
      <c r="D14" s="7">
        <f>_xlfn.XLOOKUP(A14,Inventory_Data!A:A,Inventory_Data!E:E)</f>
        <v>20</v>
      </c>
      <c r="E14" s="7" t="str">
        <f t="shared" si="0"/>
        <v>OK</v>
      </c>
    </row>
    <row r="15" spans="1:5" x14ac:dyDescent="0.3">
      <c r="A15" s="7" t="s">
        <v>19</v>
      </c>
      <c r="B15" s="7" t="str">
        <f>_xlfn.XLOOKUP(A15,Inventory_Data!A:A,Inventory_Data!B:B)</f>
        <v>Hydrogen Bulb</v>
      </c>
      <c r="C15" s="7">
        <f>IFERROR(
 SUMIFS(Stock_Movements!D:D, Stock_Movements!B:B, A15, Stock_Movements!C:C, "IN")
 -
 SUMIFS(Stock_Movements!D:D, Stock_Movements!B:B, A15, Stock_Movements!C:C, "OUT"),
0)</f>
        <v>384</v>
      </c>
      <c r="D15" s="7">
        <f>_xlfn.XLOOKUP(A15,Inventory_Data!A:A,Inventory_Data!E:E)</f>
        <v>40</v>
      </c>
      <c r="E15" s="7" t="str">
        <f t="shared" si="0"/>
        <v>OK</v>
      </c>
    </row>
    <row r="16" spans="1:5" x14ac:dyDescent="0.3">
      <c r="A16" s="7" t="s">
        <v>20</v>
      </c>
      <c r="B16" s="7" t="str">
        <f>_xlfn.XLOOKUP(A16,Inventory_Data!A:A,Inventory_Data!B:B)</f>
        <v>Groundnuts</v>
      </c>
      <c r="C16" s="7">
        <f>IFERROR(
 SUMIFS(Stock_Movements!D:D, Stock_Movements!B:B, A16, Stock_Movements!C:C, "IN")
 -
 SUMIFS(Stock_Movements!D:D, Stock_Movements!B:B, A16, Stock_Movements!C:C, "OUT"),
0)</f>
        <v>1052</v>
      </c>
      <c r="D16" s="7">
        <f>_xlfn.XLOOKUP(A16,Inventory_Data!A:A,Inventory_Data!E:E)</f>
        <v>35</v>
      </c>
      <c r="E16" s="7" t="str">
        <f t="shared" si="0"/>
        <v>OK</v>
      </c>
    </row>
    <row r="17" spans="1:5" x14ac:dyDescent="0.3">
      <c r="A17" s="7" t="s">
        <v>21</v>
      </c>
      <c r="B17" s="7" t="str">
        <f>_xlfn.XLOOKUP(A17,Inventory_Data!A:A,Inventory_Data!B:B)</f>
        <v>File Book</v>
      </c>
      <c r="C17" s="7">
        <f>IFERROR(
 SUMIFS(Stock_Movements!D:D, Stock_Movements!B:B, A17, Stock_Movements!C:C, "IN")
 -
 SUMIFS(Stock_Movements!D:D, Stock_Movements!B:B, A17, Stock_Movements!C:C, "OUT"),
0)</f>
        <v>32</v>
      </c>
      <c r="D17" s="7">
        <f>_xlfn.XLOOKUP(A17,Inventory_Data!A:A,Inventory_Data!E:E)</f>
        <v>25</v>
      </c>
      <c r="E17" s="7" t="str">
        <f t="shared" si="0"/>
        <v>OK</v>
      </c>
    </row>
    <row r="18" spans="1:5" x14ac:dyDescent="0.3">
      <c r="A18" s="7" t="s">
        <v>22</v>
      </c>
      <c r="B18" s="7" t="str">
        <f>_xlfn.XLOOKUP(A18,Inventory_Data!A:A,Inventory_Data!B:B)</f>
        <v>Curd</v>
      </c>
      <c r="C18" s="7">
        <f>IFERROR(
 SUMIFS(Stock_Movements!D:D, Stock_Movements!B:B, A18, Stock_Movements!C:C, "IN")
 -
 SUMIFS(Stock_Movements!D:D, Stock_Movements!B:B, A18, Stock_Movements!C:C, "OUT"),
0)</f>
        <v>29</v>
      </c>
      <c r="D18" s="7">
        <f>_xlfn.XLOOKUP(A18,Inventory_Data!A:A,Inventory_Data!E:E)</f>
        <v>50</v>
      </c>
      <c r="E18" s="7" t="str">
        <f t="shared" si="0"/>
        <v>LOW STOCK</v>
      </c>
    </row>
    <row r="19" spans="1:5" x14ac:dyDescent="0.3">
      <c r="A19" s="7" t="s">
        <v>23</v>
      </c>
      <c r="B19" s="7" t="str">
        <f>_xlfn.XLOOKUP(A19,Inventory_Data!A:A,Inventory_Data!B:B)</f>
        <v>Milk</v>
      </c>
      <c r="C19" s="7">
        <f>IFERROR(
 SUMIFS(Stock_Movements!D:D, Stock_Movements!B:B, A19, Stock_Movements!C:C, "IN")
 -
 SUMIFS(Stock_Movements!D:D, Stock_Movements!B:B, A19, Stock_Movements!C:C, "OUT"),
0)</f>
        <v>714</v>
      </c>
      <c r="D19" s="7">
        <f>_xlfn.XLOOKUP(A19,Inventory_Data!A:A,Inventory_Data!E:E)</f>
        <v>60</v>
      </c>
      <c r="E19" s="7" t="str">
        <f t="shared" si="0"/>
        <v>OK</v>
      </c>
    </row>
    <row r="20" spans="1:5" x14ac:dyDescent="0.3">
      <c r="A20" s="7" t="s">
        <v>24</v>
      </c>
      <c r="B20" s="7" t="str">
        <f>_xlfn.XLOOKUP(A20,Inventory_Data!A:A,Inventory_Data!B:B)</f>
        <v>Electric Fan</v>
      </c>
      <c r="C20" s="7">
        <f>IFERROR(
 SUMIFS(Stock_Movements!D:D, Stock_Movements!B:B, A20, Stock_Movements!C:C, "IN")
 -
 SUMIFS(Stock_Movements!D:D, Stock_Movements!B:B, A20, Stock_Movements!C:C, "OUT"),
0)</f>
        <v>265</v>
      </c>
      <c r="D20" s="7">
        <f>_xlfn.XLOOKUP(A20,Inventory_Data!A:A,Inventory_Data!E:E)</f>
        <v>30</v>
      </c>
      <c r="E20" s="7" t="str">
        <f t="shared" si="0"/>
        <v>OK</v>
      </c>
    </row>
    <row r="21" spans="1:5" x14ac:dyDescent="0.3">
      <c r="A21" s="7" t="s">
        <v>25</v>
      </c>
      <c r="B21" s="7" t="str">
        <f>_xlfn.XLOOKUP(A21,Inventory_Data!A:A,Inventory_Data!B:B)</f>
        <v>Panner</v>
      </c>
      <c r="C21" s="7">
        <f>IFERROR(
 SUMIFS(Stock_Movements!D:D, Stock_Movements!B:B, A21, Stock_Movements!C:C, "IN")
 -
 SUMIFS(Stock_Movements!D:D, Stock_Movements!B:B, A21, Stock_Movements!C:C, "OUT"),
0)</f>
        <v>186</v>
      </c>
      <c r="D21" s="7">
        <f>_xlfn.XLOOKUP(A21,Inventory_Data!A:A,Inventory_Data!E:E)</f>
        <v>20</v>
      </c>
      <c r="E21" s="7" t="str">
        <f t="shared" si="0"/>
        <v>OK</v>
      </c>
    </row>
  </sheetData>
  <phoneticPr fontId="2" type="noConversion"/>
  <conditionalFormatting sqref="E1:E1048576">
    <cfRule type="cellIs" dxfId="2" priority="1" operator="equal">
      <formula>"LOW STOCK"</formula>
    </cfRule>
    <cfRule type="cellIs" dxfId="1" priority="2" operator="equal">
      <formula>"OK"</formula>
    </cfRule>
    <cfRule type="cellIs" dxfId="0" priority="3" operator="equal">
      <formula>"DATA ISSUe"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E59F-2E6B-434F-A38C-E7EF2BB36535}">
  <dimension ref="A1:E3"/>
  <sheetViews>
    <sheetView tabSelected="1" zoomScale="99" workbookViewId="0">
      <selection activeCell="H20" sqref="H20"/>
    </sheetView>
  </sheetViews>
  <sheetFormatPr defaultRowHeight="14.4" x14ac:dyDescent="0.3"/>
  <cols>
    <col min="1" max="1" width="15.33203125" customWidth="1"/>
    <col min="2" max="2" width="18.44140625" customWidth="1"/>
    <col min="3" max="3" width="19.44140625" customWidth="1"/>
    <col min="4" max="4" width="16.33203125" customWidth="1"/>
  </cols>
  <sheetData>
    <row r="1" spans="1:5" x14ac:dyDescent="0.3">
      <c r="A1" s="4" t="s">
        <v>63</v>
      </c>
      <c r="B1" s="4" t="s">
        <v>64</v>
      </c>
      <c r="C1" s="4" t="s">
        <v>65</v>
      </c>
      <c r="D1" s="4" t="s">
        <v>66</v>
      </c>
      <c r="E1" s="5"/>
    </row>
    <row r="2" spans="1:5" x14ac:dyDescent="0.3">
      <c r="A2" s="5">
        <f>COUNTA(Inventory_Status!A2:A21)</f>
        <v>20</v>
      </c>
      <c r="B2" s="5">
        <f>COUNTIF(Inventory_Status!E2:E21,"DATA ISSUE")</f>
        <v>2</v>
      </c>
      <c r="C2" s="5">
        <f>COUNTIF(Inventory_Status!E2:E21,"LOW STOCK")</f>
        <v>4</v>
      </c>
      <c r="D2" s="5">
        <f>COUNTIF(Inventory_Status!E2:E21,"OK")</f>
        <v>14</v>
      </c>
      <c r="E2" s="5"/>
    </row>
    <row r="3" spans="1:5" x14ac:dyDescent="0.3">
      <c r="A3" s="5"/>
      <c r="B3" s="5"/>
      <c r="C3" s="5"/>
      <c r="D3" s="5"/>
      <c r="E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Inventory_Data</vt:lpstr>
      <vt:lpstr>Stock_Movements</vt:lpstr>
      <vt:lpstr>Inventory_Status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KUMAR RALLAPALLE</dc:creator>
  <cp:lastModifiedBy>SAHAN KUMAR RALLAPALLE</cp:lastModifiedBy>
  <dcterms:created xsi:type="dcterms:W3CDTF">2026-01-16T06:40:33Z</dcterms:created>
  <dcterms:modified xsi:type="dcterms:W3CDTF">2026-01-16T11:21:06Z</dcterms:modified>
</cp:coreProperties>
</file>